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Hours Matrix" sheetId="2" state="visible" r:id="rId4"/>
    <sheet name="Monthly OpEx (Post-Launch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<sst xmlns="http://schemas.openxmlformats.org/spreadsheetml/2006/main" count="54" uniqueCount="54">
  <si>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P1 LMS+SMS — Budget &amp; Resource Plan v1.0</t>
  </si>
  <si>
    <t xml:space="preserve">Lighthouse Global School System | Internal — Consultant Use Only</t>
  </si>
  <si>
    <t xml:space="preserve">Category</t>
  </si>
  <si>
    <t xml:space="preserve">PKR</t>
  </si>
  <si>
    <t xml:space="preserve">USD (@ 278)</t>
  </si>
  <si>
    <t xml:space="preserve">% of Total</t>
  </si>
  <si>
    <t xml:space="preserve">Development + Design + Lead hands-on (all modules)</t>
  </si>
  <si>
    <t xml:space="preserve">Combined Lead — PM / Architecture / QA overhead</t>
  </si>
  <si>
    <t xml:space="preserve">Security Consultant (2 engagements)</t>
  </si>
  <si>
    <t xml:space="preserve">Infrastructure during build (AWS + VPS)</t>
  </si>
  <si>
    <t xml:space="preserve">AI development tooling — Claude Code 7 seats</t>
  </si>
  <si>
    <t xml:space="preserve">Subtotal (before contingency)</t>
  </si>
  <si>
    <t xml:space="preserve">Contingency (15%)</t>
  </si>
  <si>
    <t xml:space="preserve">15%</t>
  </si>
  <si>
    <t xml:space="preserve">TOTAL PROJECT BUDGET</t>
  </si>
  <si>
    <t xml:space="preserve">Hours by Module by Role (AI-Adjusted)</t>
  </si>
  <si>
    <t xml:space="preserve">Module</t>
  </si>
  <si>
    <t xml:space="preserve">Backend Hrs</t>
  </si>
  <si>
    <t xml:space="preserve">Frontend Hrs</t>
  </si>
  <si>
    <t xml:space="preserve">UI/UX Hrs</t>
  </si>
  <si>
    <t xml:space="preserve">Lead Hrs</t>
  </si>
  <si>
    <t xml:space="preserve">Module Total PKR</t>
  </si>
  <si>
    <t xml:space="preserve">M01 — Admissions</t>
  </si>
  <si>
    <t xml:space="preserve">M02 — Live Online Classes</t>
  </si>
  <si>
    <t xml:space="preserve">M03 — Assignment</t>
  </si>
  <si>
    <t xml:space="preserve">M04 — Exam</t>
  </si>
  <si>
    <t xml:space="preserve">M05 — Gradebook</t>
  </si>
  <si>
    <t xml:space="preserve">M06 — Attendance</t>
  </si>
  <si>
    <t xml:space="preserve">M07 — Timetable/Scheduling</t>
  </si>
  <si>
    <t xml:space="preserve">M08 — Fee Management</t>
  </si>
  <si>
    <t xml:space="preserve">M09 — Accounting</t>
  </si>
  <si>
    <t xml:space="preserve">M10 — HR Staff Management</t>
  </si>
  <si>
    <t xml:space="preserve">M11 — Payroll</t>
  </si>
  <si>
    <t xml:space="preserve">M12 — Library Management</t>
  </si>
  <si>
    <t xml:space="preserve">M13 — Communication</t>
  </si>
  <si>
    <t xml:space="preserve">M14 — Psychological Assessment</t>
  </si>
  <si>
    <t xml:space="preserve">M15 — Transport</t>
  </si>
  <si>
    <t xml:space="preserve">M16 — Cognia Evidence Management</t>
  </si>
  <si>
    <t xml:space="preserve">M17 — Platform Administration</t>
  </si>
  <si>
    <t xml:space="preserve">M18 — User &amp; Role Management</t>
  </si>
  <si>
    <t xml:space="preserve">M19 — Reports &amp; Analytics</t>
  </si>
  <si>
    <t xml:space="preserve">M20 — Settings &amp; Configuration</t>
  </si>
  <si>
    <t xml:space="preserve">TOTAL</t>
  </si>
  <si>
    <t xml:space="preserve">Monthly Operating Costs Post-Launch</t>
  </si>
  <si>
    <t xml:space="preserve">Cost Category</t>
  </si>
  <si>
    <t xml:space="preserve">Monthly (USD)</t>
  </si>
  <si>
    <t xml:space="preserve">Monthly (PKR @ 278)</t>
  </si>
  <si>
    <t xml:space="preserve">AWS Production infrastructure</t>
  </si>
  <si>
    <t xml:space="preserve">AI API costs (moderate adoption)</t>
  </si>
  <si>
    <t xml:space="preserve">SMS/Email/WhatsApp gateway fees</t>
  </si>
  <si>
    <t xml:space="preserve">SaaS tooling (CI/CD, monitoring, PM)</t>
  </si>
  <si>
    <t xml:space="preserve">Security Consultant (amortised)</t>
  </si>
  <si>
    <t xml:space="preserve">(PKR 100,000/mo — see PKR col)</t>
  </si>
  <si>
    <t xml:space="preserve">TOTAL MONTHLY OPEX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</si>
</sst>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A0AEC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202C"/>
        <bgColor rgb="FF333300"/>
      </patternFill>
    </fill>
    <fill>
      <patternFill patternType="solid">
        <fgColor rgb="FF2B6CB0"/>
        <bgColor rgb="FF3366FF"/>
      </patternFill>
    </fill>
    <fill>
      <patternFill patternType="solid">
        <fgColor rgb="FFF7FAFC"/>
        <bgColor rgb="FFFFFFFF"/>
      </patternFill>
    </fill>
    <fill>
      <patternFill patternType="solid">
        <fgColor rgb="FFFFFFFF"/>
        <bgColor rgb="FFF7FAFC"/>
      </patternFill>
    </fill>
    <fill>
      <patternFill patternType="solid">
        <fgColor rgb="FFEBF8FF"/>
        <bgColor rgb="FFF7FAF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9999FF"/>
      <rgbColor rgb="FF993366"/>
      <rgbColor rgb="FFF7FAFC"/>
      <rgbColor rgb="FFEBF8FF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6.1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2057944</v>
      </c>
      <c r="C5" s="6" t="n">
        <f aca="false">B5/278</f>
        <v>7402.67625899281</v>
      </c>
      <c r="D5" s="7" t="n">
        <f aca="false">B5/B12</f>
        <v>0.260657892076995</v>
      </c>
    </row>
    <row r="6" customFormat="false" ht="15" hidden="false" customHeight="false" outlineLevel="0" collapsed="false">
      <c r="A6" s="8" t="s">
        <v>7</v>
      </c>
      <c r="B6" s="9" t="n">
        <v>1332173</v>
      </c>
      <c r="C6" s="10" t="n">
        <f aca="false">B6/278</f>
        <v>4791.98920863309</v>
      </c>
      <c r="D6" s="11" t="n">
        <f aca="false">B6/B12</f>
        <v>0.168732193909012</v>
      </c>
    </row>
    <row r="7" customFormat="false" ht="15" hidden="false" customHeight="false" outlineLevel="0" collapsed="false">
      <c r="A7" s="4" t="s">
        <v>8</v>
      </c>
      <c r="B7" s="5" t="n">
        <v>1200000</v>
      </c>
      <c r="C7" s="6" t="n">
        <f aca="false">B7/278</f>
        <v>4316.54676258993</v>
      </c>
      <c r="D7" s="7" t="n">
        <f aca="false">B7/B12</f>
        <v>0.151991244898984</v>
      </c>
    </row>
    <row r="8" customFormat="false" ht="15" hidden="false" customHeight="false" outlineLevel="0" collapsed="false">
      <c r="A8" s="8" t="s">
        <v>9</v>
      </c>
      <c r="B8" s="9" t="n">
        <v>1151710</v>
      </c>
      <c r="C8" s="10" t="n">
        <f aca="false">B8/278</f>
        <v>4142.84172661871</v>
      </c>
      <c r="D8" s="11" t="n">
        <f aca="false">B8/B12</f>
        <v>0.145874863885507</v>
      </c>
    </row>
    <row r="9" customFormat="false" ht="15" hidden="false" customHeight="false" outlineLevel="0" collapsed="false">
      <c r="A9" s="4" t="s">
        <v>10</v>
      </c>
      <c r="B9" s="5" t="n">
        <v>1123557</v>
      </c>
      <c r="C9" s="6" t="n">
        <f aca="false">B9/278</f>
        <v>4041.57194244604</v>
      </c>
      <c r="D9" s="7" t="n">
        <f aca="false">B9/B12</f>
        <v>0.142309022620806</v>
      </c>
    </row>
    <row r="10" customFormat="false" ht="15" hidden="false" customHeight="false" outlineLevel="0" collapsed="false">
      <c r="A10" s="12" t="s">
        <v>11</v>
      </c>
      <c r="B10" s="13" t="n">
        <f aca="false">SUM(B5:B9)</f>
        <v>6865384</v>
      </c>
      <c r="C10" s="14" t="n">
        <f aca="false">B10/278</f>
        <v>24695.6258992806</v>
      </c>
      <c r="D10" s="15"/>
    </row>
    <row r="11" customFormat="false" ht="15" hidden="false" customHeight="false" outlineLevel="0" collapsed="false">
      <c r="A11" s="16" t="s">
        <v>12</v>
      </c>
      <c r="B11" s="17" t="n">
        <f aca="false">B10*0.15</f>
        <v>1029807.6</v>
      </c>
      <c r="C11" s="18" t="n">
        <f aca="false">B11/278</f>
        <v>3704.34388489209</v>
      </c>
      <c r="D11" s="19" t="s">
        <v>13</v>
      </c>
    </row>
    <row r="12" customFormat="false" ht="15" hidden="false" customHeight="false" outlineLevel="0" collapsed="false">
      <c r="A12" s="20" t="s">
        <v>14</v>
      </c>
      <c r="B12" s="21" t="n">
        <f aca="false">B10+B11</f>
        <v>7895191.6</v>
      </c>
      <c r="C12" s="22" t="n">
        <f aca="false">B12/278</f>
        <v>28399.9697841727</v>
      </c>
      <c r="D12" s="23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6"/>
  </cols>
  <sheetData>
    <row r="1" customFormat="false" ht="15" hidden="false" customHeight="true" outlineLevel="0" collapsed="false">
      <c r="A1" s="24" t="s">
        <v>15</v>
      </c>
      <c r="B1" s="24"/>
      <c r="C1" s="24"/>
      <c r="D1" s="24"/>
      <c r="E1" s="24"/>
      <c r="F1" s="24"/>
    </row>
    <row r="2" customFormat="false" ht="26.85" hidden="false" customHeight="fals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</row>
    <row r="3" customFormat="false" ht="15" hidden="false" customHeight="false" outlineLevel="0" collapsed="false">
      <c r="A3" s="4" t="s">
        <v>22</v>
      </c>
      <c r="B3" s="5" t="n">
        <v>66</v>
      </c>
      <c r="C3" s="5" t="n">
        <v>75</v>
      </c>
      <c r="D3" s="5" t="n">
        <v>10</v>
      </c>
      <c r="E3" s="5" t="n">
        <v>9</v>
      </c>
      <c r="F3" s="5" t="n">
        <f aca="false">B3*647+C3*647+D3*700+E3*2059</f>
        <v>116758</v>
      </c>
    </row>
    <row r="4" customFormat="false" ht="15" hidden="false" customHeight="false" outlineLevel="0" collapsed="false">
      <c r="A4" s="8" t="s">
        <v>23</v>
      </c>
      <c r="B4" s="9" t="n">
        <v>90</v>
      </c>
      <c r="C4" s="9" t="n">
        <v>120</v>
      </c>
      <c r="D4" s="9" t="n">
        <v>13</v>
      </c>
      <c r="E4" s="9" t="n">
        <v>32</v>
      </c>
      <c r="F4" s="9" t="n">
        <f aca="false">B4*647+C4*647+D4*700+E4*2059</f>
        <v>210858</v>
      </c>
    </row>
    <row r="5" customFormat="false" ht="15" hidden="false" customHeight="false" outlineLevel="0" collapsed="false">
      <c r="A5" s="4" t="s">
        <v>24</v>
      </c>
      <c r="B5" s="5" t="n">
        <v>60</v>
      </c>
      <c r="C5" s="5" t="n">
        <v>68</v>
      </c>
      <c r="D5" s="5" t="n">
        <v>9</v>
      </c>
      <c r="E5" s="5" t="n">
        <v>8</v>
      </c>
      <c r="F5" s="5" t="n">
        <f aca="false">B5*647+C5*647+D5*700+E5*2059</f>
        <v>105588</v>
      </c>
    </row>
    <row r="6" customFormat="false" ht="15" hidden="false" customHeight="false" outlineLevel="0" collapsed="false">
      <c r="A6" s="8" t="s">
        <v>25</v>
      </c>
      <c r="B6" s="9" t="n">
        <v>98</v>
      </c>
      <c r="C6" s="9" t="n">
        <v>113</v>
      </c>
      <c r="D6" s="9" t="n">
        <v>15</v>
      </c>
      <c r="E6" s="9" t="n">
        <v>12</v>
      </c>
      <c r="F6" s="9" t="n">
        <f aca="false">B6*647+C6*647+D6*700+E6*2059</f>
        <v>171725</v>
      </c>
    </row>
    <row r="7" customFormat="false" ht="15" hidden="false" customHeight="false" outlineLevel="0" collapsed="false">
      <c r="A7" s="4" t="s">
        <v>26</v>
      </c>
      <c r="B7" s="5" t="n">
        <v>55</v>
      </c>
      <c r="C7" s="5" t="n">
        <v>62</v>
      </c>
      <c r="D7" s="5" t="n">
        <v>8</v>
      </c>
      <c r="E7" s="5" t="n">
        <v>7</v>
      </c>
      <c r="F7" s="5" t="n">
        <f aca="false">B7*647+C7*647+D7*700+E7*2059</f>
        <v>95712</v>
      </c>
    </row>
    <row r="8" customFormat="false" ht="15" hidden="false" customHeight="false" outlineLevel="0" collapsed="false">
      <c r="A8" s="8" t="s">
        <v>27</v>
      </c>
      <c r="B8" s="9" t="n">
        <v>41</v>
      </c>
      <c r="C8" s="9" t="n">
        <v>47</v>
      </c>
      <c r="D8" s="9" t="n">
        <v>6</v>
      </c>
      <c r="E8" s="9" t="n">
        <v>5</v>
      </c>
      <c r="F8" s="9" t="n">
        <f aca="false">B8*647+C8*647+D8*700+E8*2059</f>
        <v>71431</v>
      </c>
    </row>
    <row r="9" customFormat="false" ht="15" hidden="false" customHeight="false" outlineLevel="0" collapsed="false">
      <c r="A9" s="4" t="s">
        <v>28</v>
      </c>
      <c r="B9" s="5" t="n">
        <v>66</v>
      </c>
      <c r="C9" s="5" t="n">
        <v>75</v>
      </c>
      <c r="D9" s="5" t="n">
        <v>10</v>
      </c>
      <c r="E9" s="5" t="n">
        <v>9</v>
      </c>
      <c r="F9" s="5" t="n">
        <f aca="false">B9*647+C9*647+D9*700+E9*2059</f>
        <v>116758</v>
      </c>
    </row>
    <row r="10" customFormat="false" ht="15" hidden="false" customHeight="false" outlineLevel="0" collapsed="false">
      <c r="A10" s="8" t="s">
        <v>29</v>
      </c>
      <c r="B10" s="9" t="n">
        <v>71</v>
      </c>
      <c r="C10" s="9" t="n">
        <v>81</v>
      </c>
      <c r="D10" s="9" t="n">
        <v>11</v>
      </c>
      <c r="E10" s="9" t="n">
        <v>9</v>
      </c>
      <c r="F10" s="9" t="n">
        <f aca="false">B10*647+C10*647+D10*700+E10*2059</f>
        <v>124575</v>
      </c>
    </row>
    <row r="11" customFormat="false" ht="15" hidden="false" customHeight="false" outlineLevel="0" collapsed="false">
      <c r="A11" s="4" t="s">
        <v>30</v>
      </c>
      <c r="B11" s="5" t="n">
        <v>119</v>
      </c>
      <c r="C11" s="5" t="n">
        <v>85</v>
      </c>
      <c r="D11" s="5" t="n">
        <v>12</v>
      </c>
      <c r="E11" s="5" t="n">
        <v>9</v>
      </c>
      <c r="F11" s="5" t="n">
        <f aca="false">B11*647+C11*647+D11*700+E11*2059</f>
        <v>158919</v>
      </c>
    </row>
    <row r="12" customFormat="false" ht="15" hidden="false" customHeight="false" outlineLevel="0" collapsed="false">
      <c r="A12" s="8" t="s">
        <v>31</v>
      </c>
      <c r="B12" s="9" t="n">
        <v>56</v>
      </c>
      <c r="C12" s="9" t="n">
        <v>40</v>
      </c>
      <c r="D12" s="9" t="n">
        <v>6</v>
      </c>
      <c r="E12" s="9" t="n">
        <v>4</v>
      </c>
      <c r="F12" s="9" t="n">
        <f aca="false">B12*647+C12*647+D12*700+E12*2059</f>
        <v>74548</v>
      </c>
    </row>
    <row r="13" customFormat="false" ht="15" hidden="false" customHeight="false" outlineLevel="0" collapsed="false">
      <c r="A13" s="4" t="s">
        <v>32</v>
      </c>
      <c r="B13" s="5" t="n">
        <v>77</v>
      </c>
      <c r="C13" s="5" t="n">
        <v>55</v>
      </c>
      <c r="D13" s="5" t="n">
        <v>8</v>
      </c>
      <c r="E13" s="5" t="n">
        <v>6</v>
      </c>
      <c r="F13" s="5" t="n">
        <f aca="false">B13*647+C13*647+D13*700+E13*2059</f>
        <v>103358</v>
      </c>
    </row>
    <row r="14" customFormat="false" ht="15" hidden="false" customHeight="false" outlineLevel="0" collapsed="false">
      <c r="A14" s="8" t="s">
        <v>33</v>
      </c>
      <c r="B14" s="9" t="n">
        <v>38</v>
      </c>
      <c r="C14" s="9" t="n">
        <v>44</v>
      </c>
      <c r="D14" s="9" t="n">
        <v>6</v>
      </c>
      <c r="E14" s="9" t="n">
        <v>5</v>
      </c>
      <c r="F14" s="9" t="n">
        <f aca="false">B14*647+C14*647+D14*700+E14*2059</f>
        <v>67549</v>
      </c>
    </row>
    <row r="15" customFormat="false" ht="15" hidden="false" customHeight="false" outlineLevel="0" collapsed="false">
      <c r="A15" s="4" t="s">
        <v>34</v>
      </c>
      <c r="B15" s="5" t="n">
        <v>49</v>
      </c>
      <c r="C15" s="5" t="n">
        <v>57</v>
      </c>
      <c r="D15" s="5" t="n">
        <v>8</v>
      </c>
      <c r="E15" s="5" t="n">
        <v>6</v>
      </c>
      <c r="F15" s="5" t="n">
        <f aca="false">B15*647+C15*647+D15*700+E15*2059</f>
        <v>86536</v>
      </c>
    </row>
    <row r="16" customFormat="false" ht="15" hidden="false" customHeight="false" outlineLevel="0" collapsed="false">
      <c r="A16" s="8" t="s">
        <v>35</v>
      </c>
      <c r="B16" s="9" t="n">
        <v>87</v>
      </c>
      <c r="C16" s="9" t="n">
        <v>100</v>
      </c>
      <c r="D16" s="9" t="n">
        <v>13</v>
      </c>
      <c r="E16" s="9" t="n">
        <v>11</v>
      </c>
      <c r="F16" s="9" t="n">
        <f aca="false">B16*647+C16*647+D16*700+E16*2059</f>
        <v>152738</v>
      </c>
    </row>
    <row r="17" customFormat="false" ht="15" hidden="false" customHeight="false" outlineLevel="0" collapsed="false">
      <c r="A17" s="4" t="s">
        <v>36</v>
      </c>
      <c r="B17" s="5" t="n">
        <v>25</v>
      </c>
      <c r="C17" s="5" t="n">
        <v>28</v>
      </c>
      <c r="D17" s="5" t="n">
        <v>4</v>
      </c>
      <c r="E17" s="5" t="n">
        <v>3</v>
      </c>
      <c r="F17" s="5" t="n">
        <f aca="false">B17*647+C17*647+D17*700+E17*2059</f>
        <v>43268</v>
      </c>
    </row>
    <row r="18" customFormat="false" ht="15" hidden="false" customHeight="false" outlineLevel="0" collapsed="false">
      <c r="A18" s="8" t="s">
        <v>37</v>
      </c>
      <c r="B18" s="9" t="n">
        <v>35</v>
      </c>
      <c r="C18" s="9" t="n">
        <v>25</v>
      </c>
      <c r="D18" s="9" t="n">
        <v>4</v>
      </c>
      <c r="E18" s="9" t="n">
        <v>3</v>
      </c>
      <c r="F18" s="9" t="n">
        <f aca="false">B18*647+C18*647+D18*700+E18*2059</f>
        <v>47797</v>
      </c>
    </row>
    <row r="19" customFormat="false" ht="15" hidden="false" customHeight="false" outlineLevel="0" collapsed="false">
      <c r="A19" s="4" t="s">
        <v>38</v>
      </c>
      <c r="B19" s="5" t="n">
        <v>70</v>
      </c>
      <c r="C19" s="5" t="n">
        <v>49</v>
      </c>
      <c r="D19" s="5" t="n">
        <v>7</v>
      </c>
      <c r="E19" s="5" t="n">
        <v>5</v>
      </c>
      <c r="F19" s="5" t="n">
        <f aca="false">B19*647+C19*647+D19*700+E19*2059</f>
        <v>92188</v>
      </c>
    </row>
    <row r="20" customFormat="false" ht="15" hidden="false" customHeight="false" outlineLevel="0" collapsed="false">
      <c r="A20" s="8" t="s">
        <v>39</v>
      </c>
      <c r="B20" s="9" t="n">
        <v>77</v>
      </c>
      <c r="C20" s="9" t="n">
        <v>55</v>
      </c>
      <c r="D20" s="9" t="n">
        <v>8</v>
      </c>
      <c r="E20" s="9" t="n">
        <v>6</v>
      </c>
      <c r="F20" s="9" t="n">
        <f aca="false">B20*647+C20*647+D20*700+E20*2059</f>
        <v>103358</v>
      </c>
    </row>
    <row r="21" customFormat="false" ht="15" hidden="false" customHeight="false" outlineLevel="0" collapsed="false">
      <c r="A21" s="4" t="s">
        <v>40</v>
      </c>
      <c r="B21" s="5" t="n">
        <v>49</v>
      </c>
      <c r="C21" s="5" t="n">
        <v>57</v>
      </c>
      <c r="D21" s="5" t="n">
        <v>8</v>
      </c>
      <c r="E21" s="5" t="n">
        <v>6</v>
      </c>
      <c r="F21" s="5" t="n">
        <f aca="false">B21*647+C21*647+D21*700+E21*2059</f>
        <v>86536</v>
      </c>
    </row>
    <row r="22" customFormat="false" ht="15" hidden="false" customHeight="false" outlineLevel="0" collapsed="false">
      <c r="A22" s="8" t="s">
        <v>41</v>
      </c>
      <c r="B22" s="9" t="n">
        <v>29</v>
      </c>
      <c r="C22" s="9" t="n">
        <v>20</v>
      </c>
      <c r="D22" s="9" t="n">
        <v>3</v>
      </c>
      <c r="E22" s="9" t="n">
        <v>2</v>
      </c>
      <c r="F22" s="9" t="n">
        <f aca="false">B22*647+C22*647+D22*700+E22*2059</f>
        <v>37921</v>
      </c>
    </row>
    <row r="23" customFormat="false" ht="15" hidden="false" customHeight="false" outlineLevel="0" collapsed="false">
      <c r="A23" s="3" t="s">
        <v>42</v>
      </c>
      <c r="B23" s="25" t="n">
        <f aca="false">SUM(B3:B22)</f>
        <v>1258</v>
      </c>
      <c r="C23" s="25" t="n">
        <f aca="false">SUM(C3:C22)</f>
        <v>1256</v>
      </c>
      <c r="D23" s="25" t="n">
        <f aca="false">SUM(D3:D22)</f>
        <v>169</v>
      </c>
      <c r="E23" s="25" t="n">
        <f aca="false">SUM(E3:E22)</f>
        <v>157</v>
      </c>
      <c r="F23" s="25" t="n">
        <f aca="false">SUM(F3:F22)</f>
        <v>2068121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5" hidden="false" customHeight="true" outlineLevel="0" collapsed="false">
      <c r="A1" s="24" t="s">
        <v>43</v>
      </c>
      <c r="B1" s="24"/>
      <c r="C1" s="24"/>
    </row>
    <row r="2" customFormat="false" ht="26.85" hidden="false" customHeight="false" outlineLevel="0" collapsed="false">
      <c r="A2" s="3" t="s">
        <v>44</v>
      </c>
      <c r="B2" s="3" t="s">
        <v>45</v>
      </c>
      <c r="C2" s="3" t="s">
        <v>46</v>
      </c>
    </row>
    <row r="3" customFormat="false" ht="15" hidden="false" customHeight="false" outlineLevel="0" collapsed="false">
      <c r="A3" s="4" t="s">
        <v>47</v>
      </c>
      <c r="B3" s="6" t="n">
        <v>2300</v>
      </c>
      <c r="C3" s="5" t="n">
        <f aca="false">B3*278</f>
        <v>639400</v>
      </c>
    </row>
    <row r="4" customFormat="false" ht="15" hidden="false" customHeight="false" outlineLevel="0" collapsed="false">
      <c r="A4" s="8" t="s">
        <v>48</v>
      </c>
      <c r="B4" s="10" t="n">
        <v>21</v>
      </c>
      <c r="C4" s="9" t="n">
        <f aca="false">B4*278</f>
        <v>5838</v>
      </c>
    </row>
    <row r="5" customFormat="false" ht="15" hidden="false" customHeight="false" outlineLevel="0" collapsed="false">
      <c r="A5" s="4" t="s">
        <v>49</v>
      </c>
      <c r="B5" s="6" t="n">
        <v>150</v>
      </c>
      <c r="C5" s="5" t="n">
        <f aca="false">B5*278</f>
        <v>41700</v>
      </c>
    </row>
    <row r="6" customFormat="false" ht="15" hidden="false" customHeight="false" outlineLevel="0" collapsed="false">
      <c r="A6" s="8" t="s">
        <v>50</v>
      </c>
      <c r="B6" s="10" t="n">
        <v>200</v>
      </c>
      <c r="C6" s="9" t="n">
        <f aca="false">B6*278</f>
        <v>55600</v>
      </c>
    </row>
    <row r="7" customFormat="false" ht="15" hidden="false" customHeight="false" outlineLevel="0" collapsed="false">
      <c r="A7" s="16" t="s">
        <v>51</v>
      </c>
      <c r="B7" s="26" t="s">
        <v>52</v>
      </c>
      <c r="C7" s="17" t="n">
        <v>100000</v>
      </c>
    </row>
    <row r="8" customFormat="false" ht="15" hidden="false" customHeight="false" outlineLevel="0" collapsed="false">
      <c r="A8" s="27" t="s">
        <v>53</v>
      </c>
      <c r="B8" s="28" t="n">
        <f aca="false">SUM(B3:B6)</f>
        <v>2671</v>
      </c>
      <c r="C8" s="29" t="n">
        <f aca="false">B8*278+100000</f>
        <v>842538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2026-06-18T20:27:47Z</dcterms:created>
  <dc:creator>openpyxl</dc:creator>
  <dc:description/>
  <dc:language>en-US</dc:language>
  <cp:lastModifiedBy/>
  <dcterms:modified xsi:type="dcterms:W3CDTF">2026-06-18T20:27:47Z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